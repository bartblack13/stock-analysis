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rt\Desktop\stock-analysis\"/>
    </mc:Choice>
  </mc:AlternateContent>
  <xr:revisionPtr revIDLastSave="0" documentId="13_ncr:1_{F533EC1D-C719-41CF-9232-FF87F878A4AD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017 All Stocks Analysis" sheetId="6" r:id="rId5"/>
    <sheet name="2017 Refactored" sheetId="7" r:id="rId6"/>
    <sheet name="2018 Refactored" sheetId="8" r:id="rId7"/>
  </sheets>
  <definedNames>
    <definedName name="_xlnm._FilterDatabase" localSheetId="1" hidden="1">'2018'!$A$1:$J$3014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009" i="2" l="1"/>
  <c r="M1005" i="2"/>
  <c r="J1005" i="2"/>
  <c r="I1005" i="2"/>
  <c r="B16" i="4"/>
  <c r="H3016" i="2"/>
  <c r="H3015" i="2"/>
  <c r="H3014" i="2"/>
</calcChain>
</file>

<file path=xl/sharedStrings.xml><?xml version="1.0" encoding="utf-8"?>
<sst xmlns="http://schemas.openxmlformats.org/spreadsheetml/2006/main" count="12138" uniqueCount="534">
  <si>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</si>
  <si>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</si>
  <si>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</si>
  <si>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</si>
  <si>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</si>
  <si>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</si>
  <si>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</si>
  <si>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</si>
  <si>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</si>
  <si>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</si>
  <si>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</si>
  <si>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</si>
  <si>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</si>
  <si>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</si>
  <si>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</si>
  <si>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</si>
  <si>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</si>
  <si>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</si>
  <si>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</si>
  <si>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</si>
  <si>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</si>
  <si>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</si>
  <si>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</si>
  <si>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</si>
  <si>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</si>
  <si>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</si>
  <si>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</si>
  <si>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</si>
  <si>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</si>
  <si>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</si>
  <si>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</si>
  <si>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</si>
  <si>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</si>
  <si>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</si>
  <si>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</si>
  <si>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</si>
  <si>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</si>
  <si>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</si>
  <si>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</si>
  <si>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</si>
  <si>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</si>
  <si>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</si>
  <si>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</si>
  <si>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</si>
  <si>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</si>
  <si>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</si>
  <si>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</si>
  <si>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</si>
  <si>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</si>
  <si>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</si>
  <si>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</si>
  <si>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</si>
  <si>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</si>
  <si>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</si>
  <si>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</si>
  <si>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</si>
  <si>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</si>
  <si>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</si>
  <si>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</si>
  <si>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</si>
  <si>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</si>
  <si>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</si>
  <si>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</si>
  <si>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</si>
  <si>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</si>
  <si>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</si>
  <si>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</si>
  <si>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</si>
  <si>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</si>
  <si>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</si>
  <si>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</si>
  <si>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</si>
  <si>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</si>
  <si>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</si>
  <si>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</si>
  <si>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</si>
  <si>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</si>
  <si>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</si>
  <si>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</si>
  <si>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</si>
  <si>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</si>
  <si>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</si>
  <si>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</si>
  <si>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</si>
  <si>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</si>
  <si>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</si>
  <si>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</si>
  <si>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</si>
  <si>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</si>
  <si>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</si>
  <si>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</si>
  <si>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</si>
  <si>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</si>
  <si>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</si>
  <si>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</si>
  <si>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</si>
  <si>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</si>
  <si>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</si>
  <si>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</si>
  <si>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</si>
  <si>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</si>
  <si>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</si>
  <si>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</si>
  <si>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</si>
  <si>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</si>
  <si>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</si>
  <si>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</si>
  <si>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</si>
  <si>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</si>
  <si>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</si>
  <si>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</si>
  <si>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</si>
  <si>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</si>
  <si>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</si>
  <si>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</si>
  <si>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</si>
  <si>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</si>
  <si>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</si>
  <si>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</si>
  <si>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</si>
  <si>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</si>
  <si>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</si>
  <si>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</si>
  <si>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</si>
  <si>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</si>
  <si>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</si>
  <si>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</si>
  <si>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</si>
  <si>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</si>
  <si>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</si>
  <si>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</si>
  <si>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</si>
  <si>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</si>
  <si>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</si>
  <si>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</si>
  <si>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</si>
  <si>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</si>
  <si>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</si>
  <si>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</si>
  <si>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</si>
  <si>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</si>
  <si>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</si>
  <si>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</si>
  <si>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</si>
  <si>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</si>
  <si>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</si>
  <si>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</si>
  <si>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</si>
  <si>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</si>
  <si>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</si>
  <si>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</si>
  <si>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</si>
  <si>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</si>
  <si>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</si>
  <si>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</si>
  <si>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</si>
  <si>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</si>
  <si>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</si>
  <si>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</si>
  <si>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</si>
  <si>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</si>
  <si>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</si>
  <si>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</si>
  <si>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</si>
  <si>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</si>
  <si>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</si>
  <si>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</si>
  <si>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</si>
  <si>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</si>
  <si>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</si>
  <si>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</si>
  <si>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</si>
  <si>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</si>
  <si>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</si>
  <si>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</si>
  <si>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</si>
  <si>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</si>
  <si>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</si>
  <si>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</si>
  <si>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</si>
  <si>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</si>
  <si>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</si>
  <si>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</si>
  <si>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</si>
  <si>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</si>
  <si>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</si>
  <si>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</si>
  <si>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</si>
  <si>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</si>
  <si>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</si>
  <si>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</si>
  <si>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</si>
  <si>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</si>
  <si>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</si>
  <si>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</si>
  <si>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</si>
  <si>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</si>
  <si>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</si>
  <si>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</si>
  <si>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</si>
  <si>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</si>
  <si>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</si>
  <si>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</si>
  <si>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</si>
  <si>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</si>
  <si>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</si>
  <si>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</si>
  <si>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</si>
  <si>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</si>
  <si>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</si>
  <si>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</si>
  <si>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</si>
  <si>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</si>
  <si>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</si>
  <si>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</si>
  <si>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</si>
  <si>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</si>
  <si>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</si>
  <si>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</si>
  <si>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</si>
  <si>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</si>
  <si>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</si>
  <si>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</si>
  <si>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</si>
  <si>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</si>
  <si>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</si>
  <si>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</si>
  <si>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</si>
  <si>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</si>
  <si>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</si>
  <si>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</si>
  <si>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</si>
  <si>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</si>
  <si>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</si>
  <si>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</si>
  <si>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</si>
  <si>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</si>
  <si>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</si>
  <si>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</si>
  <si>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</si>
  <si>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</si>
  <si>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</si>
  <si>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</si>
  <si>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</si>
  <si>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</si>
  <si>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</si>
  <si>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</si>
  <si>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</si>
  <si>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</si>
  <si>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</si>
  <si>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</si>
  <si>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</si>
  <si>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</si>
  <si>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</si>
  <si>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</si>
  <si>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</si>
  <si>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</si>
  <si>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</si>
  <si>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</si>
  <si>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</si>
  <si>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</si>
  <si>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</si>
  <si>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</si>
  <si>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</si>
  <si>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</si>
  <si>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</si>
  <si>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</si>
  <si>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</si>
  <si>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</si>
  <si>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</si>
  <si>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</si>
  <si>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</si>
  <si>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</si>
  <si>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</si>
  <si>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</si>
  <si>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</si>
  <si>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</si>
  <si>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</si>
  <si>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</si>
  <si>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</si>
  <si>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</si>
  <si>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</si>
  <si>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</si>
  <si>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</si>
  <si>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</si>
  <si>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</si>
  <si>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</si>
  <si>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</si>
  <si>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</si>
  <si>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</si>
  <si>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</si>
  <si>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</si>
  <si>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</si>
  <si>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</si>
  <si>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</si>
  <si>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</si>
  <si>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</si>
  <si>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</si>
  <si>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</si>
  <si>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</si>
  <si>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</si>
  <si>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</si>
  <si>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</si>
  <si>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</si>
  <si>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</si>
  <si>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</si>
  <si>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</si>
  <si>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</si>
  <si>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</si>
  <si>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</si>
  <si>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</si>
  <si>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</si>
  <si>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</si>
  <si>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</si>
  <si>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</si>
  <si>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</si>
  <si>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</si>
  <si>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</si>
  <si>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</si>
  <si>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</si>
  <si>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</si>
  <si>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</si>
  <si>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</si>
  <si>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</si>
  <si>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</si>
  <si>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</si>
  <si>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</si>
  <si>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</si>
  <si>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</si>
  <si>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</si>
  <si>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</si>
  <si>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</si>
  <si>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</si>
  <si>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</si>
  <si>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</si>
  <si>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</si>
  <si>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</si>
  <si>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</si>
  <si>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</si>
  <si>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</si>
  <si>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</si>
  <si>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</si>
  <si>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</si>
  <si>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</si>
  <si>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</si>
  <si>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</si>
  <si>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</si>
  <si>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</si>
  <si>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</si>
  <si>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</si>
  <si>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</si>
  <si>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</si>
  <si>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</si>
  <si>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</si>
  <si>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</si>
  <si>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</si>
  <si>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</si>
  <si>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</si>
  <si>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</si>
  <si>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</si>
  <si>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</si>
  <si>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</si>
  <si>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</si>
  <si>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</si>
  <si>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</si>
  <si>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</si>
  <si>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</si>
  <si>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</si>
  <si>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</si>
  <si>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</si>
  <si>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</si>
  <si>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</si>
  <si>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</si>
  <si>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</si>
  <si>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</si>
  <si>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</si>
  <si>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</si>
  <si>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</si>
  <si>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</si>
  <si>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</si>
  <si>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</si>
  <si>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</si>
  <si>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</si>
  <si>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</si>
  <si>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</si>
  <si>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</si>
  <si>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</si>
  <si>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</si>
  <si>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</si>
  <si>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</si>
  <si>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</si>
  <si>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</si>
  <si>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</si>
  <si>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</si>
  <si>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</si>
  <si>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</si>
  <si>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</si>
  <si>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</si>
  <si>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</si>
  <si>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</si>
  <si>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</si>
  <si>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</si>
  <si>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</si>
  <si>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</si>
  <si>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</si>
  <si>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</si>
  <si>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</si>
  <si>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</si>
  <si>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</si>
  <si>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</si>
  <si>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</si>
  <si>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</si>
  <si>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</si>
  <si>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</si>
  <si>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</si>
  <si>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</si>
  <si>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</si>
  <si>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</si>
  <si>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</si>
  <si>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</si>
  <si>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</si>
  <si>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</si>
  <si>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</si>
  <si>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</si>
  <si>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</si>
  <si>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</si>
  <si>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</si>
  <si>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</si>
  <si>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</si>
  <si>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</si>
  <si>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</si>
  <si>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</si>
  <si>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</si>
  <si>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</si>
  <si>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</si>
  <si>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</si>
  <si>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</si>
  <si>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</si>
  <si>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</si>
  <si>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</si>
  <si>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</si>
  <si>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</si>
  <si>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</si>
  <si>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</si>
  <si>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</si>
  <si>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</si>
  <si>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</si>
  <si>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</si>
  <si>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</si>
  <si>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</si>
  <si>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</si>
  <si>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</si>
  <si>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</si>
  <si>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</si>
  <si>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</si>
  <si>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</si>
  <si>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</si>
  <si>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</si>
  <si>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</si>
  <si>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</si>
  <si>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</si>
  <si>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</si>
  <si>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</si>
  <si>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</si>
  <si>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</si>
  <si>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</si>
  <si>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</si>
  <si>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</si>
  <si>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</si>
  <si>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</si>
  <si>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</si>
  <si>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</si>
  <si>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</si>
  <si>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</si>
  <si>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</si>
  <si>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</si>
  <si>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</si>
  <si>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</si>
  <si>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</si>
  <si>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</si>
  <si>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</si>
  <si>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</si>
  <si>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</si>
  <si>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</si>
  <si>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</si>
  <si>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</si>
  <si>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</si>
  <si>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</si>
  <si>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</si>
  <si>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</si>
  <si>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</si>
  <si>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</si>
  <si>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</si>
  <si>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</si>
  <si>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</si>
  <si>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</si>
  <si>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</si>
  <si>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</si>
  <si>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</si>
  <si>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</si>
  <si>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</si>
  <si>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</si>
  <si>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</si>
  <si>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</si>
  <si>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</si>
  <si>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</si>
  <si>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</si>
  <si>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</si>
  <si>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</si>
  <si>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</si>
  <si>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</si>
  <si>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</si>
  <si>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</si>
  <si>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</si>
  <si>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</si>
  <si>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</si>
  <si>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</si>
  <si>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</si>
  <si>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</si>
  <si>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</si>
  <si>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</si>
  <si>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</si>
  <si>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hola pues</t>
  </si>
  <si>
    <t>DAQO (Ticker: DQ)</t>
  </si>
  <si>
    <t>Year</t>
  </si>
  <si>
    <t>Total Daily Volume</t>
  </si>
  <si>
    <t>Return</t>
  </si>
  <si>
    <t>countif DQ = DQ totalVol</t>
  </si>
  <si>
    <t>summed by "DQ" filter</t>
  </si>
  <si>
    <t>totalValue iteration</t>
  </si>
  <si>
    <t>sum if</t>
  </si>
  <si>
    <t>All Stocks (2018)</t>
  </si>
  <si>
    <t>All Stocks (2017)</t>
  </si>
  <si>
    <t>volume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</si>
</sst>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BA2D06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BA0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2" fillId="4" borderId="3" xfId="0" applyFont="1" applyFill="1" applyBorder="1"/>
    <xf numFmtId="3" fontId="0" fillId="0" borderId="0" xfId="0" applyNumberFormat="1"/>
    <xf numFmtId="164" fontId="0" fillId="5" borderId="0" xfId="0" applyNumberFormat="1" applyFill="1"/>
    <xf numFmtId="164" fontId="0" fillId="6" borderId="0" xfId="0" applyNumberFormat="1" applyFill="1"/>
    <xf numFmtId="0" fontId="0" fillId="7" borderId="0" xfId="0" applyFill="1"/>
    <xf numFmtId="0" fontId="0" fillId="5" borderId="0" xfId="0" applyFill="1"/>
    <xf numFmtId="0" fontId="1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171450</xdr:rowOff>
        </xdr:from>
        <xdr:to>
          <xdr:col>9</xdr:col>
          <xdr:colOff>123825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10</xdr:row>
          <xdr:rowOff>85725</xdr:rowOff>
        </xdr:from>
        <xdr:to>
          <xdr:col>9</xdr:col>
          <xdr:colOff>104775</xdr:colOff>
          <xdr:row>11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Anlysis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114300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6</xdr:row>
          <xdr:rowOff>123825</xdr:rowOff>
        </xdr:from>
        <xdr:to>
          <xdr:col>14</xdr:col>
          <xdr:colOff>257175</xdr:colOff>
          <xdr:row>9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checker board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11</xdr:row>
          <xdr:rowOff>123825</xdr:rowOff>
        </xdr:from>
        <xdr:to>
          <xdr:col>14</xdr:col>
          <xdr:colOff>390525</xdr:colOff>
          <xdr:row>13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114300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6</xdr:row>
          <xdr:rowOff>123825</xdr:rowOff>
        </xdr:from>
        <xdr:to>
          <xdr:col>14</xdr:col>
          <xdr:colOff>257175</xdr:colOff>
          <xdr:row>9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checker board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11</xdr:row>
          <xdr:rowOff>123825</xdr:rowOff>
        </xdr:from>
        <xdr:to>
          <xdr:col>14</xdr:col>
          <xdr:colOff>390525</xdr:colOff>
          <xdr:row>13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3</xdr:row>
          <xdr:rowOff>123825</xdr:rowOff>
        </xdr:from>
        <xdr:to>
          <xdr:col>9</xdr:col>
          <xdr:colOff>76200</xdr:colOff>
          <xdr:row>5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8</xdr:row>
          <xdr:rowOff>123825</xdr:rowOff>
        </xdr:from>
        <xdr:to>
          <xdr:col>10</xdr:col>
          <xdr:colOff>76200</xdr:colOff>
          <xdr:row>10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topLeftCell="A743" zoomScale="85" zoomScaleNormal="85" workbookViewId="0">
      <selection activeCell="A755" sqref="A755"/>
    </sheetView>
  </sheetViews>
  <sheetFormatPr defaultRowHeight="15" x14ac:dyDescent="0.25"/>
  <cols>
    <col min="2" max="2" width="11.5703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10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10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10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10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10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10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10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10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10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10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10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10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10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  <c r="J1005">
        <v>1.05</v>
      </c>
    </row>
    <row r="1006" spans="1:10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10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10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7"/>
  <sheetViews>
    <sheetView topLeftCell="A998" zoomScale="85" zoomScaleNormal="85" workbookViewId="0">
      <selection activeCell="A755" sqref="A755"/>
    </sheetView>
  </sheetViews>
  <sheetFormatPr defaultRowHeight="15" x14ac:dyDescent="0.25"/>
  <cols>
    <col min="2" max="2" width="18" bestFit="1" customWidth="1"/>
    <col min="3" max="3" width="10.85546875" bestFit="1" customWidth="1"/>
    <col min="4" max="4" width="10.42578125" bestFit="1" customWidth="1"/>
    <col min="5" max="5" width="10.28515625" bestFit="1" customWidth="1"/>
    <col min="6" max="6" width="10.85546875" bestFit="1" customWidth="1"/>
    <col min="7" max="7" width="14.140625" bestFit="1" customWidth="1"/>
    <col min="8" max="8" width="12.85546875" bestFit="1" customWidth="1"/>
    <col min="9" max="9" width="23.85546875" bestFit="1" customWidth="1"/>
  </cols>
  <sheetData>
    <row r="1" spans="1:10" x14ac:dyDescent="0.25">
      <c r="A1" s="1" t="s">
        <v>531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522</v>
      </c>
      <c r="J1" s="2"/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s="3" t="s">
        <v>10</v>
      </c>
      <c r="B504" s="3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 s="3">
        <v>390900</v>
      </c>
    </row>
    <row r="505" spans="1:8" x14ac:dyDescent="0.25">
      <c r="A505" s="3" t="s">
        <v>10</v>
      </c>
      <c r="B505" s="3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 s="3">
        <v>347200</v>
      </c>
    </row>
    <row r="506" spans="1:8" x14ac:dyDescent="0.25">
      <c r="A506" s="3" t="s">
        <v>10</v>
      </c>
      <c r="B506" s="3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 s="3">
        <v>216800</v>
      </c>
    </row>
    <row r="507" spans="1:8" x14ac:dyDescent="0.25">
      <c r="A507" s="3" t="s">
        <v>10</v>
      </c>
      <c r="B507" s="3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 s="3">
        <v>219300</v>
      </c>
    </row>
    <row r="508" spans="1:8" x14ac:dyDescent="0.25">
      <c r="A508" s="3" t="s">
        <v>10</v>
      </c>
      <c r="B508" s="3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 s="3">
        <v>1488400</v>
      </c>
    </row>
    <row r="509" spans="1:8" x14ac:dyDescent="0.25">
      <c r="A509" s="3" t="s">
        <v>10</v>
      </c>
      <c r="B509" s="3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 s="3">
        <v>830400</v>
      </c>
    </row>
    <row r="510" spans="1:8" x14ac:dyDescent="0.25">
      <c r="A510" s="3" t="s">
        <v>10</v>
      </c>
      <c r="B510" s="3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 s="3">
        <v>316200</v>
      </c>
    </row>
    <row r="511" spans="1:8" x14ac:dyDescent="0.25">
      <c r="A511" s="3" t="s">
        <v>10</v>
      </c>
      <c r="B511" s="3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 s="3">
        <v>259000</v>
      </c>
    </row>
    <row r="512" spans="1:8" x14ac:dyDescent="0.25">
      <c r="A512" s="3" t="s">
        <v>10</v>
      </c>
      <c r="B512" s="3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 s="3">
        <v>589500</v>
      </c>
    </row>
    <row r="513" spans="1:8" x14ac:dyDescent="0.25">
      <c r="A513" s="3" t="s">
        <v>10</v>
      </c>
      <c r="B513" s="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 s="3">
        <v>658600</v>
      </c>
    </row>
    <row r="514" spans="1:8" x14ac:dyDescent="0.25">
      <c r="A514" s="3" t="s">
        <v>10</v>
      </c>
      <c r="B514" s="3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 s="3">
        <v>292200</v>
      </c>
    </row>
    <row r="515" spans="1:8" x14ac:dyDescent="0.25">
      <c r="A515" s="3" t="s">
        <v>10</v>
      </c>
      <c r="B515" s="3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 s="3">
        <v>240300</v>
      </c>
    </row>
    <row r="516" spans="1:8" x14ac:dyDescent="0.25">
      <c r="A516" s="3" t="s">
        <v>10</v>
      </c>
      <c r="B516" s="3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 s="3">
        <v>524500</v>
      </c>
    </row>
    <row r="517" spans="1:8" x14ac:dyDescent="0.25">
      <c r="A517" s="3" t="s">
        <v>10</v>
      </c>
      <c r="B517" s="3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 s="3">
        <v>379300</v>
      </c>
    </row>
    <row r="518" spans="1:8" x14ac:dyDescent="0.25">
      <c r="A518" s="3" t="s">
        <v>10</v>
      </c>
      <c r="B518" s="3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 s="3">
        <v>389800</v>
      </c>
    </row>
    <row r="519" spans="1:8" x14ac:dyDescent="0.25">
      <c r="A519" s="3" t="s">
        <v>10</v>
      </c>
      <c r="B519" s="3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 s="3">
        <v>385700</v>
      </c>
    </row>
    <row r="520" spans="1:8" x14ac:dyDescent="0.25">
      <c r="A520" s="3" t="s">
        <v>10</v>
      </c>
      <c r="B520" s="3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 s="3">
        <v>235000</v>
      </c>
    </row>
    <row r="521" spans="1:8" x14ac:dyDescent="0.25">
      <c r="A521" s="3" t="s">
        <v>10</v>
      </c>
      <c r="B521" s="3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 s="3">
        <v>329600</v>
      </c>
    </row>
    <row r="522" spans="1:8" x14ac:dyDescent="0.25">
      <c r="A522" s="3" t="s">
        <v>10</v>
      </c>
      <c r="B522" s="3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 s="3">
        <v>436400</v>
      </c>
    </row>
    <row r="523" spans="1:8" x14ac:dyDescent="0.25">
      <c r="A523" s="3" t="s">
        <v>10</v>
      </c>
      <c r="B523" s="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 s="3">
        <v>239000</v>
      </c>
    </row>
    <row r="524" spans="1:8" x14ac:dyDescent="0.25">
      <c r="A524" s="3" t="s">
        <v>10</v>
      </c>
      <c r="B524" s="3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 s="3">
        <v>387900</v>
      </c>
    </row>
    <row r="525" spans="1:8" x14ac:dyDescent="0.25">
      <c r="A525" s="3" t="s">
        <v>10</v>
      </c>
      <c r="B525" s="3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 s="3">
        <v>425600</v>
      </c>
    </row>
    <row r="526" spans="1:8" x14ac:dyDescent="0.25">
      <c r="A526" s="3" t="s">
        <v>10</v>
      </c>
      <c r="B526" s="3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 s="3">
        <v>275100</v>
      </c>
    </row>
    <row r="527" spans="1:8" x14ac:dyDescent="0.25">
      <c r="A527" s="3" t="s">
        <v>10</v>
      </c>
      <c r="B527" s="3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 s="3">
        <v>436000</v>
      </c>
    </row>
    <row r="528" spans="1:8" x14ac:dyDescent="0.25">
      <c r="A528" s="3" t="s">
        <v>10</v>
      </c>
      <c r="B528" s="3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 s="3">
        <v>401400</v>
      </c>
    </row>
    <row r="529" spans="1:8" x14ac:dyDescent="0.25">
      <c r="A529" s="3" t="s">
        <v>10</v>
      </c>
      <c r="B529" s="3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 s="3">
        <v>274700</v>
      </c>
    </row>
    <row r="530" spans="1:8" x14ac:dyDescent="0.25">
      <c r="A530" s="3" t="s">
        <v>10</v>
      </c>
      <c r="B530" s="3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 s="3">
        <v>288600</v>
      </c>
    </row>
    <row r="531" spans="1:8" x14ac:dyDescent="0.25">
      <c r="A531" s="3" t="s">
        <v>10</v>
      </c>
      <c r="B531" s="3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 s="3">
        <v>313000</v>
      </c>
    </row>
    <row r="532" spans="1:8" x14ac:dyDescent="0.25">
      <c r="A532" s="3" t="s">
        <v>10</v>
      </c>
      <c r="B532" s="3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 s="3">
        <v>197900</v>
      </c>
    </row>
    <row r="533" spans="1:8" x14ac:dyDescent="0.25">
      <c r="A533" s="3" t="s">
        <v>10</v>
      </c>
      <c r="B533" s="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 s="3">
        <v>135500</v>
      </c>
    </row>
    <row r="534" spans="1:8" x14ac:dyDescent="0.25">
      <c r="A534" s="3" t="s">
        <v>10</v>
      </c>
      <c r="B534" s="3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 s="3">
        <v>183300</v>
      </c>
    </row>
    <row r="535" spans="1:8" x14ac:dyDescent="0.25">
      <c r="A535" s="3" t="s">
        <v>10</v>
      </c>
      <c r="B535" s="3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 s="3">
        <v>186200</v>
      </c>
    </row>
    <row r="536" spans="1:8" x14ac:dyDescent="0.25">
      <c r="A536" s="3" t="s">
        <v>10</v>
      </c>
      <c r="B536" s="3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 s="3">
        <v>302600</v>
      </c>
    </row>
    <row r="537" spans="1:8" x14ac:dyDescent="0.25">
      <c r="A537" s="3" t="s">
        <v>10</v>
      </c>
      <c r="B537" s="3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 s="3">
        <v>620300</v>
      </c>
    </row>
    <row r="538" spans="1:8" x14ac:dyDescent="0.25">
      <c r="A538" s="3" t="s">
        <v>10</v>
      </c>
      <c r="B538" s="3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 s="3">
        <v>447500</v>
      </c>
    </row>
    <row r="539" spans="1:8" x14ac:dyDescent="0.25">
      <c r="A539" s="3" t="s">
        <v>10</v>
      </c>
      <c r="B539" s="3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 s="3">
        <v>279500</v>
      </c>
    </row>
    <row r="540" spans="1:8" x14ac:dyDescent="0.25">
      <c r="A540" s="3" t="s">
        <v>10</v>
      </c>
      <c r="B540" s="3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 s="3">
        <v>319600</v>
      </c>
    </row>
    <row r="541" spans="1:8" x14ac:dyDescent="0.25">
      <c r="A541" s="3" t="s">
        <v>10</v>
      </c>
      <c r="B541" s="3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 s="3">
        <v>457000</v>
      </c>
    </row>
    <row r="542" spans="1:8" x14ac:dyDescent="0.25">
      <c r="A542" s="3" t="s">
        <v>10</v>
      </c>
      <c r="B542" s="3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 s="3">
        <v>474000</v>
      </c>
    </row>
    <row r="543" spans="1:8" x14ac:dyDescent="0.25">
      <c r="A543" s="3" t="s">
        <v>10</v>
      </c>
      <c r="B543" s="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 s="3">
        <v>1346700</v>
      </c>
    </row>
    <row r="544" spans="1:8" x14ac:dyDescent="0.25">
      <c r="A544" s="3" t="s">
        <v>10</v>
      </c>
      <c r="B544" s="3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 s="3">
        <v>424700</v>
      </c>
    </row>
    <row r="545" spans="1:8" x14ac:dyDescent="0.25">
      <c r="A545" s="3" t="s">
        <v>10</v>
      </c>
      <c r="B545" s="3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 s="3">
        <v>909500</v>
      </c>
    </row>
    <row r="546" spans="1:8" x14ac:dyDescent="0.25">
      <c r="A546" s="3" t="s">
        <v>10</v>
      </c>
      <c r="B546" s="3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 s="3">
        <v>665300</v>
      </c>
    </row>
    <row r="547" spans="1:8" x14ac:dyDescent="0.25">
      <c r="A547" s="3" t="s">
        <v>10</v>
      </c>
      <c r="B547" s="3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 s="3">
        <v>322800</v>
      </c>
    </row>
    <row r="548" spans="1:8" x14ac:dyDescent="0.25">
      <c r="A548" s="3" t="s">
        <v>10</v>
      </c>
      <c r="B548" s="3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 s="3">
        <v>317600</v>
      </c>
    </row>
    <row r="549" spans="1:8" x14ac:dyDescent="0.25">
      <c r="A549" s="3" t="s">
        <v>10</v>
      </c>
      <c r="B549" s="3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 s="3">
        <v>440900</v>
      </c>
    </row>
    <row r="550" spans="1:8" x14ac:dyDescent="0.25">
      <c r="A550" s="3" t="s">
        <v>10</v>
      </c>
      <c r="B550" s="3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 s="3">
        <v>730600</v>
      </c>
    </row>
    <row r="551" spans="1:8" x14ac:dyDescent="0.25">
      <c r="A551" s="3" t="s">
        <v>10</v>
      </c>
      <c r="B551" s="3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 s="3">
        <v>526200</v>
      </c>
    </row>
    <row r="552" spans="1:8" x14ac:dyDescent="0.25">
      <c r="A552" s="3" t="s">
        <v>10</v>
      </c>
      <c r="B552" s="3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 s="3">
        <v>365900</v>
      </c>
    </row>
    <row r="553" spans="1:8" x14ac:dyDescent="0.25">
      <c r="A553" s="3" t="s">
        <v>10</v>
      </c>
      <c r="B553" s="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 s="3">
        <v>243200</v>
      </c>
    </row>
    <row r="554" spans="1:8" x14ac:dyDescent="0.25">
      <c r="A554" s="3" t="s">
        <v>10</v>
      </c>
      <c r="B554" s="3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 s="3">
        <v>263700</v>
      </c>
    </row>
    <row r="555" spans="1:8" x14ac:dyDescent="0.25">
      <c r="A555" s="3" t="s">
        <v>10</v>
      </c>
      <c r="B555" s="3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 s="3">
        <v>388500</v>
      </c>
    </row>
    <row r="556" spans="1:8" x14ac:dyDescent="0.25">
      <c r="A556" s="3" t="s">
        <v>10</v>
      </c>
      <c r="B556" s="3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 s="3">
        <v>508900</v>
      </c>
    </row>
    <row r="557" spans="1:8" x14ac:dyDescent="0.25">
      <c r="A557" s="3" t="s">
        <v>10</v>
      </c>
      <c r="B557" s="3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 s="3">
        <v>392100</v>
      </c>
    </row>
    <row r="558" spans="1:8" x14ac:dyDescent="0.25">
      <c r="A558" s="3" t="s">
        <v>10</v>
      </c>
      <c r="B558" s="3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 s="3">
        <v>592800</v>
      </c>
    </row>
    <row r="559" spans="1:8" x14ac:dyDescent="0.25">
      <c r="A559" s="3" t="s">
        <v>10</v>
      </c>
      <c r="B559" s="3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 s="3">
        <v>410800</v>
      </c>
    </row>
    <row r="560" spans="1:8" x14ac:dyDescent="0.25">
      <c r="A560" s="3" t="s">
        <v>10</v>
      </c>
      <c r="B560" s="3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 s="3">
        <v>288400</v>
      </c>
    </row>
    <row r="561" spans="1:8" x14ac:dyDescent="0.25">
      <c r="A561" s="3" t="s">
        <v>10</v>
      </c>
      <c r="B561" s="3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 s="3">
        <v>183800</v>
      </c>
    </row>
    <row r="562" spans="1:8" x14ac:dyDescent="0.25">
      <c r="A562" s="3" t="s">
        <v>10</v>
      </c>
      <c r="B562" s="3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 s="3">
        <v>293800</v>
      </c>
    </row>
    <row r="563" spans="1:8" x14ac:dyDescent="0.25">
      <c r="A563" s="3" t="s">
        <v>10</v>
      </c>
      <c r="B563" s="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 s="3">
        <v>241000</v>
      </c>
    </row>
    <row r="564" spans="1:8" x14ac:dyDescent="0.25">
      <c r="A564" s="3" t="s">
        <v>10</v>
      </c>
      <c r="B564" s="3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 s="3">
        <v>261700</v>
      </c>
    </row>
    <row r="565" spans="1:8" x14ac:dyDescent="0.25">
      <c r="A565" s="3" t="s">
        <v>10</v>
      </c>
      <c r="B565" s="3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 s="3">
        <v>297400</v>
      </c>
    </row>
    <row r="566" spans="1:8" x14ac:dyDescent="0.25">
      <c r="A566" s="3" t="s">
        <v>10</v>
      </c>
      <c r="B566" s="3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 s="3">
        <v>273200</v>
      </c>
    </row>
    <row r="567" spans="1:8" x14ac:dyDescent="0.25">
      <c r="A567" s="3" t="s">
        <v>10</v>
      </c>
      <c r="B567" s="3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 s="3">
        <v>403000</v>
      </c>
    </row>
    <row r="568" spans="1:8" x14ac:dyDescent="0.25">
      <c r="A568" s="3" t="s">
        <v>10</v>
      </c>
      <c r="B568" s="3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 s="3">
        <v>409500</v>
      </c>
    </row>
    <row r="569" spans="1:8" x14ac:dyDescent="0.25">
      <c r="A569" s="3" t="s">
        <v>10</v>
      </c>
      <c r="B569" s="3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 s="3">
        <v>517300</v>
      </c>
    </row>
    <row r="570" spans="1:8" x14ac:dyDescent="0.25">
      <c r="A570" s="3" t="s">
        <v>10</v>
      </c>
      <c r="B570" s="3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 s="3">
        <v>554300</v>
      </c>
    </row>
    <row r="571" spans="1:8" x14ac:dyDescent="0.25">
      <c r="A571" s="3" t="s">
        <v>10</v>
      </c>
      <c r="B571" s="3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 s="3">
        <v>387100</v>
      </c>
    </row>
    <row r="572" spans="1:8" x14ac:dyDescent="0.25">
      <c r="A572" s="3" t="s">
        <v>10</v>
      </c>
      <c r="B572" s="3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 s="3">
        <v>498300</v>
      </c>
    </row>
    <row r="573" spans="1:8" x14ac:dyDescent="0.25">
      <c r="A573" s="3" t="s">
        <v>10</v>
      </c>
      <c r="B573" s="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 s="3">
        <v>1923000</v>
      </c>
    </row>
    <row r="574" spans="1:8" x14ac:dyDescent="0.25">
      <c r="A574" s="3" t="s">
        <v>10</v>
      </c>
      <c r="B574" s="3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 s="3">
        <v>767300</v>
      </c>
    </row>
    <row r="575" spans="1:8" x14ac:dyDescent="0.25">
      <c r="A575" s="3" t="s">
        <v>10</v>
      </c>
      <c r="B575" s="3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 s="3">
        <v>260900</v>
      </c>
    </row>
    <row r="576" spans="1:8" x14ac:dyDescent="0.25">
      <c r="A576" s="3" t="s">
        <v>10</v>
      </c>
      <c r="B576" s="3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 s="3">
        <v>469300</v>
      </c>
    </row>
    <row r="577" spans="1:8" x14ac:dyDescent="0.25">
      <c r="A577" s="3" t="s">
        <v>10</v>
      </c>
      <c r="B577" s="3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 s="3">
        <v>493700</v>
      </c>
    </row>
    <row r="578" spans="1:8" x14ac:dyDescent="0.25">
      <c r="A578" s="3" t="s">
        <v>10</v>
      </c>
      <c r="B578" s="3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 s="3">
        <v>433400</v>
      </c>
    </row>
    <row r="579" spans="1:8" x14ac:dyDescent="0.25">
      <c r="A579" s="3" t="s">
        <v>10</v>
      </c>
      <c r="B579" s="3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 s="3">
        <v>243700</v>
      </c>
    </row>
    <row r="580" spans="1:8" x14ac:dyDescent="0.25">
      <c r="A580" s="3" t="s">
        <v>10</v>
      </c>
      <c r="B580" s="3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 s="3">
        <v>267400</v>
      </c>
    </row>
    <row r="581" spans="1:8" x14ac:dyDescent="0.25">
      <c r="A581" s="3" t="s">
        <v>10</v>
      </c>
      <c r="B581" s="3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 s="3">
        <v>403600</v>
      </c>
    </row>
    <row r="582" spans="1:8" x14ac:dyDescent="0.25">
      <c r="A582" s="3" t="s">
        <v>10</v>
      </c>
      <c r="B582" s="3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 s="3">
        <v>177700</v>
      </c>
    </row>
    <row r="583" spans="1:8" x14ac:dyDescent="0.25">
      <c r="A583" s="3" t="s">
        <v>10</v>
      </c>
      <c r="B583" s="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 s="3">
        <v>369800</v>
      </c>
    </row>
    <row r="584" spans="1:8" x14ac:dyDescent="0.25">
      <c r="A584" s="3" t="s">
        <v>10</v>
      </c>
      <c r="B584" s="3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 s="3">
        <v>202000</v>
      </c>
    </row>
    <row r="585" spans="1:8" x14ac:dyDescent="0.25">
      <c r="A585" s="3" t="s">
        <v>10</v>
      </c>
      <c r="B585" s="3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 s="3">
        <v>359800</v>
      </c>
    </row>
    <row r="586" spans="1:8" x14ac:dyDescent="0.25">
      <c r="A586" s="3" t="s">
        <v>10</v>
      </c>
      <c r="B586" s="3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 s="3">
        <v>114100</v>
      </c>
    </row>
    <row r="587" spans="1:8" x14ac:dyDescent="0.25">
      <c r="A587" s="3" t="s">
        <v>10</v>
      </c>
      <c r="B587" s="3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 s="3">
        <v>216700</v>
      </c>
    </row>
    <row r="588" spans="1:8" x14ac:dyDescent="0.25">
      <c r="A588" s="3" t="s">
        <v>10</v>
      </c>
      <c r="B588" s="3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 s="3">
        <v>232000</v>
      </c>
    </row>
    <row r="589" spans="1:8" x14ac:dyDescent="0.25">
      <c r="A589" s="3" t="s">
        <v>10</v>
      </c>
      <c r="B589" s="3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 s="3">
        <v>316700</v>
      </c>
    </row>
    <row r="590" spans="1:8" x14ac:dyDescent="0.25">
      <c r="A590" s="3" t="s">
        <v>10</v>
      </c>
      <c r="B590" s="3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 s="3">
        <v>405300</v>
      </c>
    </row>
    <row r="591" spans="1:8" x14ac:dyDescent="0.25">
      <c r="A591" s="3" t="s">
        <v>10</v>
      </c>
      <c r="B591" s="3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 s="3">
        <v>554600</v>
      </c>
    </row>
    <row r="592" spans="1:8" x14ac:dyDescent="0.25">
      <c r="A592" s="3" t="s">
        <v>10</v>
      </c>
      <c r="B592" s="3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 s="3">
        <v>394000</v>
      </c>
    </row>
    <row r="593" spans="1:8" x14ac:dyDescent="0.25">
      <c r="A593" s="3" t="s">
        <v>10</v>
      </c>
      <c r="B593" s="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 s="3">
        <v>276100</v>
      </c>
    </row>
    <row r="594" spans="1:8" x14ac:dyDescent="0.25">
      <c r="A594" s="3" t="s">
        <v>10</v>
      </c>
      <c r="B594" s="3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 s="3">
        <v>248700</v>
      </c>
    </row>
    <row r="595" spans="1:8" x14ac:dyDescent="0.25">
      <c r="A595" s="3" t="s">
        <v>10</v>
      </c>
      <c r="B595" s="3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 s="3">
        <v>906400</v>
      </c>
    </row>
    <row r="596" spans="1:8" x14ac:dyDescent="0.25">
      <c r="A596" s="3" t="s">
        <v>10</v>
      </c>
      <c r="B596" s="3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 s="3">
        <v>385000</v>
      </c>
    </row>
    <row r="597" spans="1:8" x14ac:dyDescent="0.25">
      <c r="A597" s="3" t="s">
        <v>10</v>
      </c>
      <c r="B597" s="3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 s="3">
        <v>811100</v>
      </c>
    </row>
    <row r="598" spans="1:8" x14ac:dyDescent="0.25">
      <c r="A598" s="3" t="s">
        <v>10</v>
      </c>
      <c r="B598" s="3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 s="3">
        <v>528100</v>
      </c>
    </row>
    <row r="599" spans="1:8" x14ac:dyDescent="0.25">
      <c r="A599" s="3" t="s">
        <v>10</v>
      </c>
      <c r="B599" s="3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 s="3">
        <v>364700</v>
      </c>
    </row>
    <row r="600" spans="1:8" x14ac:dyDescent="0.25">
      <c r="A600" s="3" t="s">
        <v>10</v>
      </c>
      <c r="B600" s="3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 s="3">
        <v>315600</v>
      </c>
    </row>
    <row r="601" spans="1:8" x14ac:dyDescent="0.25">
      <c r="A601" s="3" t="s">
        <v>10</v>
      </c>
      <c r="B601" s="3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 s="3">
        <v>689300</v>
      </c>
    </row>
    <row r="602" spans="1:8" x14ac:dyDescent="0.25">
      <c r="A602" s="3" t="s">
        <v>10</v>
      </c>
      <c r="B602" s="3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 s="3">
        <v>567600</v>
      </c>
    </row>
    <row r="603" spans="1:8" x14ac:dyDescent="0.25">
      <c r="A603" s="3" t="s">
        <v>10</v>
      </c>
      <c r="B603" s="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 s="3">
        <v>299300</v>
      </c>
    </row>
    <row r="604" spans="1:8" x14ac:dyDescent="0.25">
      <c r="A604" s="3" t="s">
        <v>10</v>
      </c>
      <c r="B604" s="3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 s="3">
        <v>324100</v>
      </c>
    </row>
    <row r="605" spans="1:8" x14ac:dyDescent="0.25">
      <c r="A605" s="3" t="s">
        <v>10</v>
      </c>
      <c r="B605" s="3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 s="3">
        <v>368300</v>
      </c>
    </row>
    <row r="606" spans="1:8" x14ac:dyDescent="0.25">
      <c r="A606" s="3" t="s">
        <v>10</v>
      </c>
      <c r="B606" s="3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 s="3">
        <v>1085600</v>
      </c>
    </row>
    <row r="607" spans="1:8" x14ac:dyDescent="0.25">
      <c r="A607" s="3" t="s">
        <v>10</v>
      </c>
      <c r="B607" s="3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 s="3">
        <v>788600</v>
      </c>
    </row>
    <row r="608" spans="1:8" x14ac:dyDescent="0.25">
      <c r="A608" s="3" t="s">
        <v>10</v>
      </c>
      <c r="B608" s="3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 s="3">
        <v>1054000</v>
      </c>
    </row>
    <row r="609" spans="1:8" x14ac:dyDescent="0.25">
      <c r="A609" s="3" t="s">
        <v>10</v>
      </c>
      <c r="B609" s="3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 s="3">
        <v>3680600</v>
      </c>
    </row>
    <row r="610" spans="1:8" x14ac:dyDescent="0.25">
      <c r="A610" s="3" t="s">
        <v>10</v>
      </c>
      <c r="B610" s="3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 s="3">
        <v>1968400</v>
      </c>
    </row>
    <row r="611" spans="1:8" x14ac:dyDescent="0.25">
      <c r="A611" s="3" t="s">
        <v>10</v>
      </c>
      <c r="B611" s="3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 s="3">
        <v>1345000</v>
      </c>
    </row>
    <row r="612" spans="1:8" x14ac:dyDescent="0.25">
      <c r="A612" s="3" t="s">
        <v>10</v>
      </c>
      <c r="B612" s="3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 s="3">
        <v>842200</v>
      </c>
    </row>
    <row r="613" spans="1:8" x14ac:dyDescent="0.25">
      <c r="A613" s="3" t="s">
        <v>10</v>
      </c>
      <c r="B613" s="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 s="3">
        <v>1742200</v>
      </c>
    </row>
    <row r="614" spans="1:8" x14ac:dyDescent="0.25">
      <c r="A614" s="3" t="s">
        <v>10</v>
      </c>
      <c r="B614" s="3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 s="3">
        <v>1077700</v>
      </c>
    </row>
    <row r="615" spans="1:8" x14ac:dyDescent="0.25">
      <c r="A615" s="3" t="s">
        <v>10</v>
      </c>
      <c r="B615" s="3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 s="3">
        <v>1459400</v>
      </c>
    </row>
    <row r="616" spans="1:8" x14ac:dyDescent="0.25">
      <c r="A616" s="3" t="s">
        <v>10</v>
      </c>
      <c r="B616" s="3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 s="3">
        <v>723600</v>
      </c>
    </row>
    <row r="617" spans="1:8" x14ac:dyDescent="0.25">
      <c r="A617" s="3" t="s">
        <v>10</v>
      </c>
      <c r="B617" s="3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 s="3">
        <v>1778000</v>
      </c>
    </row>
    <row r="618" spans="1:8" x14ac:dyDescent="0.25">
      <c r="A618" s="3" t="s">
        <v>10</v>
      </c>
      <c r="B618" s="3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 s="3">
        <v>1128300</v>
      </c>
    </row>
    <row r="619" spans="1:8" x14ac:dyDescent="0.25">
      <c r="A619" s="3" t="s">
        <v>10</v>
      </c>
      <c r="B619" s="3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 s="3">
        <v>568300</v>
      </c>
    </row>
    <row r="620" spans="1:8" x14ac:dyDescent="0.25">
      <c r="A620" s="3" t="s">
        <v>10</v>
      </c>
      <c r="B620" s="3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 s="3">
        <v>629000</v>
      </c>
    </row>
    <row r="621" spans="1:8" x14ac:dyDescent="0.25">
      <c r="A621" s="3" t="s">
        <v>10</v>
      </c>
      <c r="B621" s="3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 s="3">
        <v>604600</v>
      </c>
    </row>
    <row r="622" spans="1:8" x14ac:dyDescent="0.25">
      <c r="A622" s="3" t="s">
        <v>10</v>
      </c>
      <c r="B622" s="3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 s="3">
        <v>459300</v>
      </c>
    </row>
    <row r="623" spans="1:8" x14ac:dyDescent="0.25">
      <c r="A623" s="3" t="s">
        <v>10</v>
      </c>
      <c r="B623" s="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 s="3">
        <v>519400</v>
      </c>
    </row>
    <row r="624" spans="1:8" x14ac:dyDescent="0.25">
      <c r="A624" s="3" t="s">
        <v>10</v>
      </c>
      <c r="B624" s="3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 s="3">
        <v>472100</v>
      </c>
    </row>
    <row r="625" spans="1:8" x14ac:dyDescent="0.25">
      <c r="A625" s="3" t="s">
        <v>10</v>
      </c>
      <c r="B625" s="3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 s="3">
        <v>361900</v>
      </c>
    </row>
    <row r="626" spans="1:8" x14ac:dyDescent="0.25">
      <c r="A626" s="3" t="s">
        <v>10</v>
      </c>
      <c r="B626" s="3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 s="3">
        <v>662800</v>
      </c>
    </row>
    <row r="627" spans="1:8" x14ac:dyDescent="0.25">
      <c r="A627" s="3" t="s">
        <v>10</v>
      </c>
      <c r="B627" s="3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 s="3">
        <v>563800</v>
      </c>
    </row>
    <row r="628" spans="1:8" x14ac:dyDescent="0.25">
      <c r="A628" s="3" t="s">
        <v>10</v>
      </c>
      <c r="B628" s="3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 s="3">
        <v>312700</v>
      </c>
    </row>
    <row r="629" spans="1:8" x14ac:dyDescent="0.25">
      <c r="A629" s="3" t="s">
        <v>10</v>
      </c>
      <c r="B629" s="3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 s="3">
        <v>430500</v>
      </c>
    </row>
    <row r="630" spans="1:8" x14ac:dyDescent="0.25">
      <c r="A630" s="3" t="s">
        <v>10</v>
      </c>
      <c r="B630" s="3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 s="3">
        <v>407600</v>
      </c>
    </row>
    <row r="631" spans="1:8" x14ac:dyDescent="0.25">
      <c r="A631" s="3" t="s">
        <v>10</v>
      </c>
      <c r="B631" s="3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 s="3">
        <v>1333100</v>
      </c>
    </row>
    <row r="632" spans="1:8" x14ac:dyDescent="0.25">
      <c r="A632" s="3" t="s">
        <v>10</v>
      </c>
      <c r="B632" s="3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 s="3">
        <v>423700</v>
      </c>
    </row>
    <row r="633" spans="1:8" x14ac:dyDescent="0.25">
      <c r="A633" s="3" t="s">
        <v>10</v>
      </c>
      <c r="B633" s="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 s="3">
        <v>772200</v>
      </c>
    </row>
    <row r="634" spans="1:8" x14ac:dyDescent="0.25">
      <c r="A634" s="3" t="s">
        <v>10</v>
      </c>
      <c r="B634" s="3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 s="3">
        <v>654000</v>
      </c>
    </row>
    <row r="635" spans="1:8" x14ac:dyDescent="0.25">
      <c r="A635" s="3" t="s">
        <v>10</v>
      </c>
      <c r="B635" s="3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 s="3">
        <v>702500</v>
      </c>
    </row>
    <row r="636" spans="1:8" x14ac:dyDescent="0.25">
      <c r="A636" s="3" t="s">
        <v>10</v>
      </c>
      <c r="B636" s="3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 s="3">
        <v>252300</v>
      </c>
    </row>
    <row r="637" spans="1:8" x14ac:dyDescent="0.25">
      <c r="A637" s="3" t="s">
        <v>10</v>
      </c>
      <c r="B637" s="3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 s="3">
        <v>966100</v>
      </c>
    </row>
    <row r="638" spans="1:8" x14ac:dyDescent="0.25">
      <c r="A638" s="3" t="s">
        <v>10</v>
      </c>
      <c r="B638" s="3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 s="3">
        <v>739100</v>
      </c>
    </row>
    <row r="639" spans="1:8" x14ac:dyDescent="0.25">
      <c r="A639" s="3" t="s">
        <v>10</v>
      </c>
      <c r="B639" s="3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 s="3">
        <v>438300</v>
      </c>
    </row>
    <row r="640" spans="1:8" x14ac:dyDescent="0.25">
      <c r="A640" s="3" t="s">
        <v>10</v>
      </c>
      <c r="B640" s="3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 s="3">
        <v>407700</v>
      </c>
    </row>
    <row r="641" spans="1:8" x14ac:dyDescent="0.25">
      <c r="A641" s="3" t="s">
        <v>10</v>
      </c>
      <c r="B641" s="3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 s="3">
        <v>330800</v>
      </c>
    </row>
    <row r="642" spans="1:8" x14ac:dyDescent="0.25">
      <c r="A642" s="3" t="s">
        <v>10</v>
      </c>
      <c r="B642" s="3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 s="3">
        <v>170700</v>
      </c>
    </row>
    <row r="643" spans="1:8" x14ac:dyDescent="0.25">
      <c r="A643" s="3" t="s">
        <v>10</v>
      </c>
      <c r="B643" s="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 s="3">
        <v>410500</v>
      </c>
    </row>
    <row r="644" spans="1:8" x14ac:dyDescent="0.25">
      <c r="A644" s="3" t="s">
        <v>10</v>
      </c>
      <c r="B644" s="3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 s="3">
        <v>406700</v>
      </c>
    </row>
    <row r="645" spans="1:8" x14ac:dyDescent="0.25">
      <c r="A645" s="3" t="s">
        <v>10</v>
      </c>
      <c r="B645" s="3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 s="3">
        <v>441200</v>
      </c>
    </row>
    <row r="646" spans="1:8" x14ac:dyDescent="0.25">
      <c r="A646" s="3" t="s">
        <v>10</v>
      </c>
      <c r="B646" s="3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 s="3">
        <v>301100</v>
      </c>
    </row>
    <row r="647" spans="1:8" x14ac:dyDescent="0.25">
      <c r="A647" s="3" t="s">
        <v>10</v>
      </c>
      <c r="B647" s="3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 s="3">
        <v>255800</v>
      </c>
    </row>
    <row r="648" spans="1:8" x14ac:dyDescent="0.25">
      <c r="A648" s="3" t="s">
        <v>10</v>
      </c>
      <c r="B648" s="3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 s="3">
        <v>324200</v>
      </c>
    </row>
    <row r="649" spans="1:8" x14ac:dyDescent="0.25">
      <c r="A649" s="3" t="s">
        <v>10</v>
      </c>
      <c r="B649" s="3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 s="3">
        <v>486500</v>
      </c>
    </row>
    <row r="650" spans="1:8" x14ac:dyDescent="0.25">
      <c r="A650" s="3" t="s">
        <v>10</v>
      </c>
      <c r="B650" s="3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 s="3">
        <v>273200</v>
      </c>
    </row>
    <row r="651" spans="1:8" x14ac:dyDescent="0.25">
      <c r="A651" s="3" t="s">
        <v>10</v>
      </c>
      <c r="B651" s="3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 s="3">
        <v>320100</v>
      </c>
    </row>
    <row r="652" spans="1:8" x14ac:dyDescent="0.25">
      <c r="A652" s="3" t="s">
        <v>10</v>
      </c>
      <c r="B652" s="3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 s="3">
        <v>347100</v>
      </c>
    </row>
    <row r="653" spans="1:8" x14ac:dyDescent="0.25">
      <c r="A653" s="3" t="s">
        <v>10</v>
      </c>
      <c r="B653" s="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 s="3">
        <v>632300</v>
      </c>
    </row>
    <row r="654" spans="1:8" x14ac:dyDescent="0.25">
      <c r="A654" s="3" t="s">
        <v>10</v>
      </c>
      <c r="B654" s="3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 s="3">
        <v>1476500</v>
      </c>
    </row>
    <row r="655" spans="1:8" x14ac:dyDescent="0.25">
      <c r="A655" s="3" t="s">
        <v>10</v>
      </c>
      <c r="B655" s="3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 s="3">
        <v>599700</v>
      </c>
    </row>
    <row r="656" spans="1:8" x14ac:dyDescent="0.25">
      <c r="A656" s="3" t="s">
        <v>10</v>
      </c>
      <c r="B656" s="3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 s="3">
        <v>383200</v>
      </c>
    </row>
    <row r="657" spans="1:8" x14ac:dyDescent="0.25">
      <c r="A657" s="3" t="s">
        <v>10</v>
      </c>
      <c r="B657" s="3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 s="3">
        <v>241000</v>
      </c>
    </row>
    <row r="658" spans="1:8" x14ac:dyDescent="0.25">
      <c r="A658" s="3" t="s">
        <v>10</v>
      </c>
      <c r="B658" s="3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 s="3">
        <v>289800</v>
      </c>
    </row>
    <row r="659" spans="1:8" x14ac:dyDescent="0.25">
      <c r="A659" s="3" t="s">
        <v>10</v>
      </c>
      <c r="B659" s="3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 s="3">
        <v>329600</v>
      </c>
    </row>
    <row r="660" spans="1:8" x14ac:dyDescent="0.25">
      <c r="A660" s="3" t="s">
        <v>10</v>
      </c>
      <c r="B660" s="3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 s="3">
        <v>149800</v>
      </c>
    </row>
    <row r="661" spans="1:8" x14ac:dyDescent="0.25">
      <c r="A661" s="3" t="s">
        <v>10</v>
      </c>
      <c r="B661" s="3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 s="3">
        <v>302400</v>
      </c>
    </row>
    <row r="662" spans="1:8" x14ac:dyDescent="0.25">
      <c r="A662" s="3" t="s">
        <v>10</v>
      </c>
      <c r="B662" s="3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 s="3">
        <v>462500</v>
      </c>
    </row>
    <row r="663" spans="1:8" x14ac:dyDescent="0.25">
      <c r="A663" s="3" t="s">
        <v>10</v>
      </c>
      <c r="B663" s="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 s="3">
        <v>532200</v>
      </c>
    </row>
    <row r="664" spans="1:8" x14ac:dyDescent="0.25">
      <c r="A664" s="3" t="s">
        <v>10</v>
      </c>
      <c r="B664" s="3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 s="3">
        <v>426400</v>
      </c>
    </row>
    <row r="665" spans="1:8" x14ac:dyDescent="0.25">
      <c r="A665" s="3" t="s">
        <v>10</v>
      </c>
      <c r="B665" s="3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 s="3">
        <v>461000</v>
      </c>
    </row>
    <row r="666" spans="1:8" x14ac:dyDescent="0.25">
      <c r="A666" s="3" t="s">
        <v>10</v>
      </c>
      <c r="B666" s="3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 s="3">
        <v>226500</v>
      </c>
    </row>
    <row r="667" spans="1:8" x14ac:dyDescent="0.25">
      <c r="A667" s="3" t="s">
        <v>10</v>
      </c>
      <c r="B667" s="3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 s="3">
        <v>394200</v>
      </c>
    </row>
    <row r="668" spans="1:8" x14ac:dyDescent="0.25">
      <c r="A668" s="3" t="s">
        <v>10</v>
      </c>
      <c r="B668" s="3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 s="3">
        <v>430600</v>
      </c>
    </row>
    <row r="669" spans="1:8" x14ac:dyDescent="0.25">
      <c r="A669" s="3" t="s">
        <v>10</v>
      </c>
      <c r="B669" s="3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 s="3">
        <v>233500</v>
      </c>
    </row>
    <row r="670" spans="1:8" x14ac:dyDescent="0.25">
      <c r="A670" s="3" t="s">
        <v>10</v>
      </c>
      <c r="B670" s="3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 s="3">
        <v>164200</v>
      </c>
    </row>
    <row r="671" spans="1:8" x14ac:dyDescent="0.25">
      <c r="A671" s="3" t="s">
        <v>10</v>
      </c>
      <c r="B671" s="3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 s="3">
        <v>329200</v>
      </c>
    </row>
    <row r="672" spans="1:8" x14ac:dyDescent="0.25">
      <c r="A672" s="3" t="s">
        <v>10</v>
      </c>
      <c r="B672" s="3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 s="3">
        <v>200000</v>
      </c>
    </row>
    <row r="673" spans="1:8" x14ac:dyDescent="0.25">
      <c r="A673" s="3" t="s">
        <v>10</v>
      </c>
      <c r="B673" s="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 s="3">
        <v>120200</v>
      </c>
    </row>
    <row r="674" spans="1:8" x14ac:dyDescent="0.25">
      <c r="A674" s="3" t="s">
        <v>10</v>
      </c>
      <c r="B674" s="3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 s="3">
        <v>440000</v>
      </c>
    </row>
    <row r="675" spans="1:8" x14ac:dyDescent="0.25">
      <c r="A675" s="3" t="s">
        <v>10</v>
      </c>
      <c r="B675" s="3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 s="3">
        <v>243600</v>
      </c>
    </row>
    <row r="676" spans="1:8" x14ac:dyDescent="0.25">
      <c r="A676" s="3" t="s">
        <v>10</v>
      </c>
      <c r="B676" s="3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 s="3">
        <v>296800</v>
      </c>
    </row>
    <row r="677" spans="1:8" x14ac:dyDescent="0.25">
      <c r="A677" s="3" t="s">
        <v>10</v>
      </c>
      <c r="B677" s="3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 s="3">
        <v>283600</v>
      </c>
    </row>
    <row r="678" spans="1:8" x14ac:dyDescent="0.25">
      <c r="A678" s="3" t="s">
        <v>10</v>
      </c>
      <c r="B678" s="3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 s="3">
        <v>273100</v>
      </c>
    </row>
    <row r="679" spans="1:8" x14ac:dyDescent="0.25">
      <c r="A679" s="3" t="s">
        <v>10</v>
      </c>
      <c r="B679" s="3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 s="3">
        <v>153900</v>
      </c>
    </row>
    <row r="680" spans="1:8" x14ac:dyDescent="0.25">
      <c r="A680" s="3" t="s">
        <v>10</v>
      </c>
      <c r="B680" s="3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 s="3">
        <v>177300</v>
      </c>
    </row>
    <row r="681" spans="1:8" x14ac:dyDescent="0.25">
      <c r="A681" s="3" t="s">
        <v>10</v>
      </c>
      <c r="B681" s="3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 s="3">
        <v>197300</v>
      </c>
    </row>
    <row r="682" spans="1:8" x14ac:dyDescent="0.25">
      <c r="A682" s="3" t="s">
        <v>10</v>
      </c>
      <c r="B682" s="3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 s="3">
        <v>366700</v>
      </c>
    </row>
    <row r="683" spans="1:8" x14ac:dyDescent="0.25">
      <c r="A683" s="3" t="s">
        <v>10</v>
      </c>
      <c r="B683" s="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 s="3">
        <v>224900</v>
      </c>
    </row>
    <row r="684" spans="1:8" x14ac:dyDescent="0.25">
      <c r="A684" s="3" t="s">
        <v>10</v>
      </c>
      <c r="B684" s="3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 s="3">
        <v>543200</v>
      </c>
    </row>
    <row r="685" spans="1:8" x14ac:dyDescent="0.25">
      <c r="A685" s="3" t="s">
        <v>10</v>
      </c>
      <c r="B685" s="3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 s="3">
        <v>219600</v>
      </c>
    </row>
    <row r="686" spans="1:8" x14ac:dyDescent="0.25">
      <c r="A686" s="3" t="s">
        <v>10</v>
      </c>
      <c r="B686" s="3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 s="3">
        <v>269400</v>
      </c>
    </row>
    <row r="687" spans="1:8" x14ac:dyDescent="0.25">
      <c r="A687" s="3" t="s">
        <v>10</v>
      </c>
      <c r="B687" s="3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 s="3">
        <v>273900</v>
      </c>
    </row>
    <row r="688" spans="1:8" x14ac:dyDescent="0.25">
      <c r="A688" s="3" t="s">
        <v>10</v>
      </c>
      <c r="B688" s="3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 s="3">
        <v>782900</v>
      </c>
    </row>
    <row r="689" spans="1:8" x14ac:dyDescent="0.25">
      <c r="A689" s="3" t="s">
        <v>10</v>
      </c>
      <c r="B689" s="3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 s="3">
        <v>740400</v>
      </c>
    </row>
    <row r="690" spans="1:8" x14ac:dyDescent="0.25">
      <c r="A690" s="3" t="s">
        <v>10</v>
      </c>
      <c r="B690" s="3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 s="3">
        <v>1081500</v>
      </c>
    </row>
    <row r="691" spans="1:8" x14ac:dyDescent="0.25">
      <c r="A691" s="3" t="s">
        <v>10</v>
      </c>
      <c r="B691" s="3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 s="3">
        <v>240200</v>
      </c>
    </row>
    <row r="692" spans="1:8" x14ac:dyDescent="0.25">
      <c r="A692" s="3" t="s">
        <v>10</v>
      </c>
      <c r="B692" s="3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 s="3">
        <v>143000</v>
      </c>
    </row>
    <row r="693" spans="1:8" x14ac:dyDescent="0.25">
      <c r="A693" s="3" t="s">
        <v>10</v>
      </c>
      <c r="B693" s="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 s="3">
        <v>271300</v>
      </c>
    </row>
    <row r="694" spans="1:8" x14ac:dyDescent="0.25">
      <c r="A694" s="3" t="s">
        <v>10</v>
      </c>
      <c r="B694" s="3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 s="3">
        <v>151200</v>
      </c>
    </row>
    <row r="695" spans="1:8" x14ac:dyDescent="0.25">
      <c r="A695" s="3" t="s">
        <v>10</v>
      </c>
      <c r="B695" s="3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 s="3">
        <v>167000</v>
      </c>
    </row>
    <row r="696" spans="1:8" x14ac:dyDescent="0.25">
      <c r="A696" s="3" t="s">
        <v>10</v>
      </c>
      <c r="B696" s="3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 s="3">
        <v>296000</v>
      </c>
    </row>
    <row r="697" spans="1:8" x14ac:dyDescent="0.25">
      <c r="A697" s="3" t="s">
        <v>10</v>
      </c>
      <c r="B697" s="3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 s="3">
        <v>116200</v>
      </c>
    </row>
    <row r="698" spans="1:8" x14ac:dyDescent="0.25">
      <c r="A698" s="3" t="s">
        <v>10</v>
      </c>
      <c r="B698" s="3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 s="3">
        <v>128000</v>
      </c>
    </row>
    <row r="699" spans="1:8" x14ac:dyDescent="0.25">
      <c r="A699" s="3" t="s">
        <v>10</v>
      </c>
      <c r="B699" s="3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 s="3">
        <v>236200</v>
      </c>
    </row>
    <row r="700" spans="1:8" x14ac:dyDescent="0.25">
      <c r="A700" s="3" t="s">
        <v>10</v>
      </c>
      <c r="B700" s="3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 s="3">
        <v>159600</v>
      </c>
    </row>
    <row r="701" spans="1:8" x14ac:dyDescent="0.25">
      <c r="A701" s="3" t="s">
        <v>10</v>
      </c>
      <c r="B701" s="3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 s="3">
        <v>98400</v>
      </c>
    </row>
    <row r="702" spans="1:8" x14ac:dyDescent="0.25">
      <c r="A702" s="3" t="s">
        <v>10</v>
      </c>
      <c r="B702" s="3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 s="3">
        <v>244300</v>
      </c>
    </row>
    <row r="703" spans="1:8" x14ac:dyDescent="0.25">
      <c r="A703" s="3" t="s">
        <v>10</v>
      </c>
      <c r="B703" s="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 s="3">
        <v>148800</v>
      </c>
    </row>
    <row r="704" spans="1:8" x14ac:dyDescent="0.25">
      <c r="A704" s="3" t="s">
        <v>10</v>
      </c>
      <c r="B704" s="3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 s="3">
        <v>310600</v>
      </c>
    </row>
    <row r="705" spans="1:8" x14ac:dyDescent="0.25">
      <c r="A705" s="3" t="s">
        <v>10</v>
      </c>
      <c r="B705" s="3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 s="3">
        <v>450200</v>
      </c>
    </row>
    <row r="706" spans="1:8" x14ac:dyDescent="0.25">
      <c r="A706" s="3" t="s">
        <v>10</v>
      </c>
      <c r="B706" s="3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 s="3">
        <v>195300</v>
      </c>
    </row>
    <row r="707" spans="1:8" x14ac:dyDescent="0.25">
      <c r="A707" s="3" t="s">
        <v>10</v>
      </c>
      <c r="B707" s="3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 s="3">
        <v>229400</v>
      </c>
    </row>
    <row r="708" spans="1:8" x14ac:dyDescent="0.25">
      <c r="A708" s="3" t="s">
        <v>10</v>
      </c>
      <c r="B708" s="3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 s="3">
        <v>202700</v>
      </c>
    </row>
    <row r="709" spans="1:8" x14ac:dyDescent="0.25">
      <c r="A709" s="3" t="s">
        <v>10</v>
      </c>
      <c r="B709" s="3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 s="3">
        <v>180600</v>
      </c>
    </row>
    <row r="710" spans="1:8" x14ac:dyDescent="0.25">
      <c r="A710" s="3" t="s">
        <v>10</v>
      </c>
      <c r="B710" s="3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 s="3">
        <v>111400</v>
      </c>
    </row>
    <row r="711" spans="1:8" x14ac:dyDescent="0.25">
      <c r="A711" s="3" t="s">
        <v>10</v>
      </c>
      <c r="B711" s="3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 s="3">
        <v>136800</v>
      </c>
    </row>
    <row r="712" spans="1:8" x14ac:dyDescent="0.25">
      <c r="A712" s="3" t="s">
        <v>10</v>
      </c>
      <c r="B712" s="3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 s="3">
        <v>140000</v>
      </c>
    </row>
    <row r="713" spans="1:8" x14ac:dyDescent="0.25">
      <c r="A713" s="3" t="s">
        <v>10</v>
      </c>
      <c r="B713" s="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 s="3">
        <v>114300</v>
      </c>
    </row>
    <row r="714" spans="1:8" x14ac:dyDescent="0.25">
      <c r="A714" s="3" t="s">
        <v>10</v>
      </c>
      <c r="B714" s="3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 s="3">
        <v>137900</v>
      </c>
    </row>
    <row r="715" spans="1:8" x14ac:dyDescent="0.25">
      <c r="A715" s="3" t="s">
        <v>10</v>
      </c>
      <c r="B715" s="3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 s="3">
        <v>296300</v>
      </c>
    </row>
    <row r="716" spans="1:8" x14ac:dyDescent="0.25">
      <c r="A716" s="3" t="s">
        <v>10</v>
      </c>
      <c r="B716" s="3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 s="3">
        <v>560900</v>
      </c>
    </row>
    <row r="717" spans="1:8" x14ac:dyDescent="0.25">
      <c r="A717" s="3" t="s">
        <v>10</v>
      </c>
      <c r="B717" s="3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 s="3">
        <v>1054400</v>
      </c>
    </row>
    <row r="718" spans="1:8" x14ac:dyDescent="0.25">
      <c r="A718" s="3" t="s">
        <v>10</v>
      </c>
      <c r="B718" s="3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 s="3">
        <v>330900</v>
      </c>
    </row>
    <row r="719" spans="1:8" x14ac:dyDescent="0.25">
      <c r="A719" s="3" t="s">
        <v>10</v>
      </c>
      <c r="B719" s="3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 s="3">
        <v>441300</v>
      </c>
    </row>
    <row r="720" spans="1:8" x14ac:dyDescent="0.25">
      <c r="A720" s="3" t="s">
        <v>10</v>
      </c>
      <c r="B720" s="3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 s="3">
        <v>325900</v>
      </c>
    </row>
    <row r="721" spans="1:8" x14ac:dyDescent="0.25">
      <c r="A721" s="3" t="s">
        <v>10</v>
      </c>
      <c r="B721" s="3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 s="3">
        <v>215300</v>
      </c>
    </row>
    <row r="722" spans="1:8" x14ac:dyDescent="0.25">
      <c r="A722" s="3" t="s">
        <v>10</v>
      </c>
      <c r="B722" s="3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 s="3">
        <v>340500</v>
      </c>
    </row>
    <row r="723" spans="1:8" x14ac:dyDescent="0.25">
      <c r="A723" s="3" t="s">
        <v>10</v>
      </c>
      <c r="B723" s="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 s="3">
        <v>924500</v>
      </c>
    </row>
    <row r="724" spans="1:8" x14ac:dyDescent="0.25">
      <c r="A724" s="3" t="s">
        <v>10</v>
      </c>
      <c r="B724" s="3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 s="3">
        <v>357900</v>
      </c>
    </row>
    <row r="725" spans="1:8" x14ac:dyDescent="0.25">
      <c r="A725" s="3" t="s">
        <v>10</v>
      </c>
      <c r="B725" s="3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 s="3">
        <v>258800</v>
      </c>
    </row>
    <row r="726" spans="1:8" x14ac:dyDescent="0.25">
      <c r="A726" s="3" t="s">
        <v>10</v>
      </c>
      <c r="B726" s="3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 s="3">
        <v>165400</v>
      </c>
    </row>
    <row r="727" spans="1:8" x14ac:dyDescent="0.25">
      <c r="A727" s="3" t="s">
        <v>10</v>
      </c>
      <c r="B727" s="3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 s="3">
        <v>283700</v>
      </c>
    </row>
    <row r="728" spans="1:8" x14ac:dyDescent="0.25">
      <c r="A728" s="3" t="s">
        <v>10</v>
      </c>
      <c r="B728" s="3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 s="3">
        <v>252100</v>
      </c>
    </row>
    <row r="729" spans="1:8" x14ac:dyDescent="0.25">
      <c r="A729" s="3" t="s">
        <v>10</v>
      </c>
      <c r="B729" s="3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 s="3">
        <v>77500</v>
      </c>
    </row>
    <row r="730" spans="1:8" x14ac:dyDescent="0.25">
      <c r="A730" s="3" t="s">
        <v>10</v>
      </c>
      <c r="B730" s="3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 s="3">
        <v>55500</v>
      </c>
    </row>
    <row r="731" spans="1:8" x14ac:dyDescent="0.25">
      <c r="A731" s="3" t="s">
        <v>10</v>
      </c>
      <c r="B731" s="3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 s="3">
        <v>301400</v>
      </c>
    </row>
    <row r="732" spans="1:8" x14ac:dyDescent="0.25">
      <c r="A732" s="3" t="s">
        <v>10</v>
      </c>
      <c r="B732" s="3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 s="3">
        <v>261200</v>
      </c>
    </row>
    <row r="733" spans="1:8" x14ac:dyDescent="0.25">
      <c r="A733" s="3" t="s">
        <v>10</v>
      </c>
      <c r="B733" s="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 s="3">
        <v>225700</v>
      </c>
    </row>
    <row r="734" spans="1:8" x14ac:dyDescent="0.25">
      <c r="A734" s="3" t="s">
        <v>10</v>
      </c>
      <c r="B734" s="3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 s="3">
        <v>127700</v>
      </c>
    </row>
    <row r="735" spans="1:8" x14ac:dyDescent="0.25">
      <c r="A735" s="3" t="s">
        <v>10</v>
      </c>
      <c r="B735" s="3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 s="3">
        <v>101200</v>
      </c>
    </row>
    <row r="736" spans="1:8" x14ac:dyDescent="0.25">
      <c r="A736" s="3" t="s">
        <v>10</v>
      </c>
      <c r="B736" s="3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 s="3">
        <v>122000</v>
      </c>
    </row>
    <row r="737" spans="1:8" x14ac:dyDescent="0.25">
      <c r="A737" s="3" t="s">
        <v>10</v>
      </c>
      <c r="B737" s="3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 s="3">
        <v>138200</v>
      </c>
    </row>
    <row r="738" spans="1:8" x14ac:dyDescent="0.25">
      <c r="A738" s="3" t="s">
        <v>10</v>
      </c>
      <c r="B738" s="3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 s="3">
        <v>173200</v>
      </c>
    </row>
    <row r="739" spans="1:8" x14ac:dyDescent="0.25">
      <c r="A739" s="3" t="s">
        <v>10</v>
      </c>
      <c r="B739" s="3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 s="3">
        <v>75800</v>
      </c>
    </row>
    <row r="740" spans="1:8" x14ac:dyDescent="0.25">
      <c r="A740" s="3" t="s">
        <v>10</v>
      </c>
      <c r="B740" s="3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 s="3">
        <v>65600</v>
      </c>
    </row>
    <row r="741" spans="1:8" x14ac:dyDescent="0.25">
      <c r="A741" s="3" t="s">
        <v>10</v>
      </c>
      <c r="B741" s="3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 s="3">
        <v>131300</v>
      </c>
    </row>
    <row r="742" spans="1:8" x14ac:dyDescent="0.25">
      <c r="A742" s="3" t="s">
        <v>10</v>
      </c>
      <c r="B742" s="3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 s="3">
        <v>156300</v>
      </c>
    </row>
    <row r="743" spans="1:8" x14ac:dyDescent="0.25">
      <c r="A743" s="3" t="s">
        <v>10</v>
      </c>
      <c r="B743" s="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 s="3">
        <v>104800</v>
      </c>
    </row>
    <row r="744" spans="1:8" x14ac:dyDescent="0.25">
      <c r="A744" s="3" t="s">
        <v>10</v>
      </c>
      <c r="B744" s="3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 s="3">
        <v>129300</v>
      </c>
    </row>
    <row r="745" spans="1:8" x14ac:dyDescent="0.25">
      <c r="A745" s="3" t="s">
        <v>10</v>
      </c>
      <c r="B745" s="3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 s="3">
        <v>94600</v>
      </c>
    </row>
    <row r="746" spans="1:8" x14ac:dyDescent="0.25">
      <c r="A746" s="3" t="s">
        <v>10</v>
      </c>
      <c r="B746" s="3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 s="3">
        <v>69100</v>
      </c>
    </row>
    <row r="747" spans="1:8" x14ac:dyDescent="0.25">
      <c r="A747" s="3" t="s">
        <v>10</v>
      </c>
      <c r="B747" s="3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 s="3">
        <v>236100</v>
      </c>
    </row>
    <row r="748" spans="1:8" x14ac:dyDescent="0.25">
      <c r="A748" s="3" t="s">
        <v>10</v>
      </c>
      <c r="B748" s="3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 s="3">
        <v>191200</v>
      </c>
    </row>
    <row r="749" spans="1:8" x14ac:dyDescent="0.25">
      <c r="A749" s="3" t="s">
        <v>10</v>
      </c>
      <c r="B749" s="3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 s="3">
        <v>308200</v>
      </c>
    </row>
    <row r="750" spans="1:8" x14ac:dyDescent="0.25">
      <c r="A750" s="3" t="s">
        <v>10</v>
      </c>
      <c r="B750" s="3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 s="3">
        <v>99600</v>
      </c>
    </row>
    <row r="751" spans="1:8" x14ac:dyDescent="0.25">
      <c r="A751" s="3" t="s">
        <v>10</v>
      </c>
      <c r="B751" s="3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 s="3">
        <v>145200</v>
      </c>
    </row>
    <row r="752" spans="1:8" x14ac:dyDescent="0.25">
      <c r="A752" s="3" t="s">
        <v>10</v>
      </c>
      <c r="B752" s="3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 s="3">
        <v>156200</v>
      </c>
    </row>
    <row r="753" spans="1:8" x14ac:dyDescent="0.25">
      <c r="A753" s="3" t="s">
        <v>10</v>
      </c>
      <c r="B753" s="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 s="3">
        <v>94900</v>
      </c>
    </row>
    <row r="754" spans="1:8" x14ac:dyDescent="0.25">
      <c r="A754" s="3" t="s">
        <v>10</v>
      </c>
      <c r="B754" s="3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13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13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13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13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13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13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13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13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13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13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13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13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13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>G1005-G755</f>
        <v>2.1300000000000003</v>
      </c>
      <c r="J1005">
        <f>I1005/G755</f>
        <v>0.81923076923076932</v>
      </c>
      <c r="K1005">
        <v>1.05</v>
      </c>
      <c r="L1005">
        <v>4.7300000000000004</v>
      </c>
      <c r="M1005">
        <f>(L1005-K1005)/K1005</f>
        <v>3.5047619047619052</v>
      </c>
    </row>
    <row r="1006" spans="1:13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13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13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14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14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14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14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14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14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14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14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14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L2009">
        <v>5.92</v>
      </c>
      <c r="M2009">
        <v>10.89</v>
      </c>
      <c r="N2009">
        <f>(M2009-L2009)/L2009</f>
        <v>0.8395270270270272</v>
      </c>
    </row>
    <row r="2010" spans="1:14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14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14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14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14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14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14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s="4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4" spans="1:9" x14ac:dyDescent="0.25">
      <c r="H3014">
        <f>SUM(H504:H754)</f>
        <v>107873900</v>
      </c>
      <c r="I3014" t="s">
        <v>528</v>
      </c>
    </row>
    <row r="3015" spans="1:9" x14ac:dyDescent="0.25">
      <c r="H3015">
        <f>SUMIF(A2:A3013, "DQ", H2:H3013)</f>
        <v>107873900</v>
      </c>
      <c r="I3015" t="s">
        <v>527</v>
      </c>
    </row>
    <row r="3016" spans="1:9" x14ac:dyDescent="0.25">
      <c r="H3016">
        <f>SUMIF(A:A, "DQ", H:H)</f>
        <v>107873900</v>
      </c>
      <c r="I3016" t="s">
        <v>530</v>
      </c>
    </row>
    <row r="3017" spans="1:9" x14ac:dyDescent="0.25">
      <c r="H3017">
        <v>107873900</v>
      </c>
      <c r="I3017" t="s">
        <v>529</v>
      </c>
    </row>
  </sheetData>
  <autoFilter ref="A1:J301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0651-0781-47BB-B8E3-22A9E3A49A6A}">
  <sheetPr codeName="Sheet3"/>
  <dimension ref="A1:C4"/>
  <sheetViews>
    <sheetView zoomScale="75" zoomScaleNormal="75" workbookViewId="0">
      <selection activeCell="L11" sqref="L11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523</v>
      </c>
    </row>
    <row r="3" spans="1:3" x14ac:dyDescent="0.25">
      <c r="A3" t="s">
        <v>524</v>
      </c>
      <c r="B3" t="s">
        <v>525</v>
      </c>
      <c r="C3" t="s">
        <v>526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>
                  <from>
                    <xdr:col>6</xdr:col>
                    <xdr:colOff>0</xdr:colOff>
                    <xdr:row>6</xdr:row>
                    <xdr:rowOff>171450</xdr:rowOff>
                  </from>
                  <to>
                    <xdr:col>9</xdr:col>
                    <xdr:colOff>123825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QAnalysis">
                <anchor moveWithCells="1">
                  <from>
                    <xdr:col>6</xdr:col>
                    <xdr:colOff>276225</xdr:colOff>
                    <xdr:row>10</xdr:row>
                    <xdr:rowOff>85725</xdr:rowOff>
                  </from>
                  <to>
                    <xdr:col>9</xdr:col>
                    <xdr:colOff>104775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E631-E3E7-4344-923C-98CEEC83EC2B}">
  <sheetPr codeName="Sheet4"/>
  <dimension ref="A1:I16"/>
  <sheetViews>
    <sheetView tabSelected="1" zoomScaleNormal="100" workbookViewId="0">
      <selection activeCell="B6" sqref="B6"/>
    </sheetView>
  </sheetViews>
  <sheetFormatPr defaultRowHeight="15" x14ac:dyDescent="0.25"/>
  <cols>
    <col min="1" max="1" width="12.42578125" customWidth="1"/>
    <col min="2" max="2" width="23" bestFit="1" customWidth="1"/>
    <col min="3" max="3" width="17.7109375" customWidth="1"/>
  </cols>
  <sheetData>
    <row r="1" spans="1:9" x14ac:dyDescent="0.25">
      <c r="A1" t="s">
        <v>531</v>
      </c>
    </row>
    <row r="3" spans="1:9" ht="18.75" x14ac:dyDescent="0.3">
      <c r="A3" s="5" t="s">
        <v>0</v>
      </c>
      <c r="B3" s="5" t="s">
        <v>525</v>
      </c>
      <c r="C3" s="5" t="s">
        <v>526</v>
      </c>
      <c r="F3" s="9"/>
      <c r="G3" s="10"/>
      <c r="H3" s="9"/>
      <c r="I3" s="10"/>
    </row>
    <row r="4" spans="1:9" x14ac:dyDescent="0.25">
      <c r="A4" t="s">
        <v>8</v>
      </c>
      <c r="B4" s="6">
        <v>83079900</v>
      </c>
      <c r="C4" s="7">
        <v>-7.2847634553909302E-2</v>
      </c>
      <c r="F4" s="10"/>
      <c r="G4" s="9"/>
      <c r="H4" s="10"/>
      <c r="I4" s="9"/>
    </row>
    <row r="5" spans="1:9" x14ac:dyDescent="0.25">
      <c r="A5" t="s">
        <v>9</v>
      </c>
      <c r="B5" s="6">
        <v>200879900</v>
      </c>
      <c r="C5" s="7">
        <v>-0.16336052119731903</v>
      </c>
      <c r="F5" s="9"/>
      <c r="G5" s="10"/>
      <c r="H5" s="9"/>
      <c r="I5" s="10"/>
    </row>
    <row r="6" spans="1:9" x14ac:dyDescent="0.25">
      <c r="A6" t="s">
        <v>10</v>
      </c>
      <c r="B6" s="6">
        <v>107873900</v>
      </c>
      <c r="C6" s="7">
        <v>-0.62601888179779053</v>
      </c>
      <c r="F6" s="10"/>
      <c r="G6" s="9"/>
      <c r="H6" s="10"/>
      <c r="I6" s="9"/>
    </row>
    <row r="7" spans="1:9" x14ac:dyDescent="0.25">
      <c r="A7" t="s">
        <v>11</v>
      </c>
      <c r="B7" s="6">
        <v>607473500</v>
      </c>
      <c r="C7" s="8">
        <v>0.81923085451126099</v>
      </c>
      <c r="F7" s="9"/>
      <c r="G7" s="10"/>
      <c r="H7" s="9"/>
      <c r="I7" s="10"/>
    </row>
    <row r="8" spans="1:9" x14ac:dyDescent="0.25">
      <c r="A8" t="s">
        <v>12</v>
      </c>
      <c r="B8" s="6">
        <v>478113900</v>
      </c>
      <c r="C8" s="7">
        <v>-0.39713191986083984</v>
      </c>
    </row>
    <row r="9" spans="1:9" x14ac:dyDescent="0.25">
      <c r="A9" t="s">
        <v>13</v>
      </c>
      <c r="B9" s="6">
        <v>104340600</v>
      </c>
      <c r="C9" s="7">
        <v>-0.20658062398433685</v>
      </c>
    </row>
    <row r="10" spans="1:9" x14ac:dyDescent="0.25">
      <c r="A10" t="s">
        <v>14</v>
      </c>
      <c r="B10" s="6">
        <v>158309000</v>
      </c>
      <c r="C10" s="7">
        <v>-0.6053471565246582</v>
      </c>
    </row>
    <row r="11" spans="1:9" x14ac:dyDescent="0.25">
      <c r="A11" t="s">
        <v>15</v>
      </c>
      <c r="B11" s="6">
        <v>502757100</v>
      </c>
      <c r="C11" s="8">
        <v>0.83952707052230835</v>
      </c>
    </row>
    <row r="12" spans="1:9" x14ac:dyDescent="0.25">
      <c r="A12" t="s">
        <v>16</v>
      </c>
      <c r="B12" s="6">
        <v>237212300</v>
      </c>
      <c r="C12" s="7">
        <v>-7.7529586851596832E-2</v>
      </c>
    </row>
    <row r="13" spans="1:9" x14ac:dyDescent="0.25">
      <c r="A13" t="s">
        <v>17</v>
      </c>
      <c r="B13" s="6">
        <v>538024300</v>
      </c>
      <c r="C13" s="7">
        <v>-0.44593092799186707</v>
      </c>
    </row>
    <row r="14" spans="1:9" x14ac:dyDescent="0.25">
      <c r="A14" t="s">
        <v>18</v>
      </c>
      <c r="B14" s="6">
        <v>151434700</v>
      </c>
      <c r="C14" s="7">
        <v>-4.9957673996686935E-2</v>
      </c>
    </row>
    <row r="15" spans="1:9" x14ac:dyDescent="0.25">
      <c r="A15" t="s">
        <v>19</v>
      </c>
      <c r="B15" s="6">
        <v>136539100</v>
      </c>
      <c r="C15" s="7">
        <v>-3.5443063825368881E-2</v>
      </c>
    </row>
    <row r="16" spans="1:9" x14ac:dyDescent="0.25">
      <c r="A16" t="s">
        <v>533</v>
      </c>
      <c r="B16">
        <f>SUM(B4:B15)</f>
        <v>3306038200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161925</xdr:colOff>
                    <xdr:row>10</xdr:row>
                    <xdr:rowOff>114300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formatAllStocksAnalysisTable">
                <anchor moveWithCells="1">
                  <from>
                    <xdr:col>11</xdr:col>
                    <xdr:colOff>200025</xdr:colOff>
                    <xdr:row>6</xdr:row>
                    <xdr:rowOff>123825</xdr:rowOff>
                  </from>
                  <to>
                    <xdr:col>14</xdr:col>
                    <xdr:colOff>257175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rWorksheet">
                <anchor moveWithCells="1">
                  <from>
                    <xdr:col>11</xdr:col>
                    <xdr:colOff>266700</xdr:colOff>
                    <xdr:row>11</xdr:row>
                    <xdr:rowOff>123825</xdr:rowOff>
                  </from>
                  <to>
                    <xdr:col>14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78F42-9C38-46FD-BAC7-DB6E2723EE66}">
  <sheetPr codeName="Sheet6"/>
  <dimension ref="A1:I15"/>
  <sheetViews>
    <sheetView zoomScaleNormal="100" workbookViewId="0">
      <selection activeCell="B7" sqref="B7"/>
    </sheetView>
  </sheetViews>
  <sheetFormatPr defaultRowHeight="15" x14ac:dyDescent="0.25"/>
  <cols>
    <col min="2" max="2" width="23" bestFit="1" customWidth="1"/>
    <col min="3" max="3" width="17.7109375" customWidth="1"/>
  </cols>
  <sheetData>
    <row r="1" spans="1:9" x14ac:dyDescent="0.25">
      <c r="A1" t="s">
        <v>532</v>
      </c>
    </row>
    <row r="3" spans="1:9" ht="18.75" x14ac:dyDescent="0.3">
      <c r="A3" s="5" t="s">
        <v>0</v>
      </c>
      <c r="B3" s="5" t="s">
        <v>525</v>
      </c>
      <c r="C3" s="5" t="s">
        <v>526</v>
      </c>
      <c r="F3" s="9"/>
      <c r="G3" s="10"/>
      <c r="H3" s="9"/>
      <c r="I3" s="10"/>
    </row>
    <row r="4" spans="1:9" x14ac:dyDescent="0.25">
      <c r="A4" t="s">
        <v>8</v>
      </c>
      <c r="B4" s="6">
        <v>136070900</v>
      </c>
      <c r="C4" s="8">
        <v>8.9368253946304321E-2</v>
      </c>
      <c r="F4" s="10"/>
      <c r="G4" s="9"/>
      <c r="H4" s="10"/>
      <c r="I4" s="9"/>
    </row>
    <row r="5" spans="1:9" x14ac:dyDescent="0.25">
      <c r="A5" t="s">
        <v>9</v>
      </c>
      <c r="B5" s="6">
        <v>310592800</v>
      </c>
      <c r="C5" s="8">
        <v>0.33070248365402222</v>
      </c>
      <c r="F5" s="9"/>
      <c r="G5" s="10"/>
      <c r="H5" s="9"/>
      <c r="I5" s="10"/>
    </row>
    <row r="6" spans="1:9" x14ac:dyDescent="0.25">
      <c r="A6" t="s">
        <v>10</v>
      </c>
      <c r="B6" s="6">
        <v>35796200</v>
      </c>
      <c r="C6" s="8">
        <v>1.9944583177566528</v>
      </c>
      <c r="F6" s="10"/>
      <c r="G6" s="9"/>
      <c r="H6" s="10"/>
      <c r="I6" s="9"/>
    </row>
    <row r="7" spans="1:9" x14ac:dyDescent="0.25">
      <c r="A7" t="s">
        <v>11</v>
      </c>
      <c r="B7" s="6">
        <v>221772100</v>
      </c>
      <c r="C7" s="8">
        <v>1.2952382564544678</v>
      </c>
      <c r="F7" s="9"/>
      <c r="G7" s="10"/>
      <c r="H7" s="9"/>
      <c r="I7" s="10"/>
    </row>
    <row r="8" spans="1:9" x14ac:dyDescent="0.25">
      <c r="A8" t="s">
        <v>12</v>
      </c>
      <c r="B8" s="6">
        <v>684181400</v>
      </c>
      <c r="C8" s="8">
        <v>1.0131185054779053</v>
      </c>
    </row>
    <row r="9" spans="1:9" x14ac:dyDescent="0.25">
      <c r="A9" t="s">
        <v>13</v>
      </c>
      <c r="B9" s="6">
        <v>80949300</v>
      </c>
      <c r="C9" s="8">
        <v>0.2583681046962738</v>
      </c>
    </row>
    <row r="10" spans="1:9" x14ac:dyDescent="0.25">
      <c r="A10" t="s">
        <v>14</v>
      </c>
      <c r="B10" s="6">
        <v>191632200</v>
      </c>
      <c r="C10" s="8">
        <v>0.53870755434036255</v>
      </c>
    </row>
    <row r="11" spans="1:9" x14ac:dyDescent="0.25">
      <c r="A11" t="s">
        <v>15</v>
      </c>
      <c r="B11" s="6">
        <v>267681300</v>
      </c>
      <c r="C11" s="8">
        <v>5.5456161499023438E-2</v>
      </c>
    </row>
    <row r="12" spans="1:9" x14ac:dyDescent="0.25">
      <c r="A12" t="s">
        <v>16</v>
      </c>
      <c r="B12" s="6">
        <v>206885200</v>
      </c>
      <c r="C12" s="8">
        <v>1.8446969985961914</v>
      </c>
    </row>
    <row r="13" spans="1:9" x14ac:dyDescent="0.25">
      <c r="A13" t="s">
        <v>17</v>
      </c>
      <c r="B13" s="6">
        <v>782187000</v>
      </c>
      <c r="C13" s="8">
        <v>0.23065699636936188</v>
      </c>
    </row>
    <row r="14" spans="1:9" x14ac:dyDescent="0.25">
      <c r="A14" t="s">
        <v>18</v>
      </c>
      <c r="B14" s="6">
        <v>139402800</v>
      </c>
      <c r="C14" s="7">
        <v>-7.2148971259593964E-2</v>
      </c>
    </row>
    <row r="15" spans="1:9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161925</xdr:colOff>
                    <xdr:row>10</xdr:row>
                    <xdr:rowOff>114300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sAnalysisTable">
                <anchor moveWithCells="1">
                  <from>
                    <xdr:col>11</xdr:col>
                    <xdr:colOff>200025</xdr:colOff>
                    <xdr:row>6</xdr:row>
                    <xdr:rowOff>123825</xdr:rowOff>
                  </from>
                  <to>
                    <xdr:col>14</xdr:col>
                    <xdr:colOff>257175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Worksheet">
                <anchor moveWithCells="1">
                  <from>
                    <xdr:col>11</xdr:col>
                    <xdr:colOff>266700</xdr:colOff>
                    <xdr:row>11</xdr:row>
                    <xdr:rowOff>123825</xdr:rowOff>
                  </from>
                  <to>
                    <xdr:col>14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0D08-5B69-4041-8F6D-D65F09B45D41}">
  <sheetPr codeName="Sheet5"/>
  <dimension ref="A1:C15"/>
  <sheetViews>
    <sheetView zoomScale="75" zoomScaleNormal="75" workbookViewId="0">
      <selection activeCell="I13" sqref="I1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532</v>
      </c>
    </row>
    <row r="3" spans="1:3" x14ac:dyDescent="0.25">
      <c r="A3" s="11" t="s">
        <v>0</v>
      </c>
      <c r="B3" s="11" t="s">
        <v>525</v>
      </c>
      <c r="C3" s="11" t="s">
        <v>526</v>
      </c>
    </row>
    <row r="4" spans="1:3" x14ac:dyDescent="0.25">
      <c r="A4" t="s">
        <v>19</v>
      </c>
      <c r="B4" s="6">
        <v>37999669200</v>
      </c>
      <c r="C4" s="7"/>
    </row>
    <row r="5" spans="1:3" x14ac:dyDescent="0.25">
      <c r="A5" t="s">
        <v>19</v>
      </c>
      <c r="B5" s="6">
        <v>37999669200</v>
      </c>
      <c r="C5" s="7"/>
    </row>
    <row r="6" spans="1:3" x14ac:dyDescent="0.25">
      <c r="A6" t="s">
        <v>19</v>
      </c>
      <c r="B6" s="6">
        <v>37999669200</v>
      </c>
      <c r="C6" s="7"/>
    </row>
    <row r="7" spans="1:3" x14ac:dyDescent="0.25">
      <c r="A7" t="s">
        <v>19</v>
      </c>
      <c r="B7" s="6">
        <v>37999669200</v>
      </c>
      <c r="C7" s="7"/>
    </row>
    <row r="8" spans="1:3" x14ac:dyDescent="0.25">
      <c r="A8" t="s">
        <v>19</v>
      </c>
      <c r="B8" s="6">
        <v>37999669200</v>
      </c>
      <c r="C8" s="7"/>
    </row>
    <row r="9" spans="1:3" x14ac:dyDescent="0.25">
      <c r="A9" t="s">
        <v>19</v>
      </c>
      <c r="B9" s="6">
        <v>37999669200</v>
      </c>
      <c r="C9" s="7"/>
    </row>
    <row r="10" spans="1:3" x14ac:dyDescent="0.25">
      <c r="A10" t="s">
        <v>19</v>
      </c>
      <c r="B10" s="6">
        <v>37999669200</v>
      </c>
      <c r="C10" s="7"/>
    </row>
    <row r="11" spans="1:3" x14ac:dyDescent="0.25">
      <c r="A11" t="s">
        <v>19</v>
      </c>
      <c r="B11" s="6">
        <v>37999669200</v>
      </c>
      <c r="C11" s="7"/>
    </row>
    <row r="12" spans="1:3" x14ac:dyDescent="0.25">
      <c r="A12" t="s">
        <v>19</v>
      </c>
      <c r="B12" s="6">
        <v>37999669200</v>
      </c>
      <c r="C12" s="7"/>
    </row>
    <row r="13" spans="1:3" x14ac:dyDescent="0.25">
      <c r="A13" t="s">
        <v>19</v>
      </c>
      <c r="B13" s="6">
        <v>37999669200</v>
      </c>
      <c r="C13" s="7"/>
    </row>
    <row r="14" spans="1:3" x14ac:dyDescent="0.25">
      <c r="A14" t="s">
        <v>19</v>
      </c>
      <c r="B14" s="6">
        <v>37999669200</v>
      </c>
      <c r="C14" s="7"/>
    </row>
    <row r="15" spans="1:3" x14ac:dyDescent="0.25">
      <c r="A15" t="s">
        <v>19</v>
      </c>
      <c r="B15" s="6">
        <v>37999669200</v>
      </c>
      <c r="C1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ClearWorksheet">
                <anchor moveWithCells="1">
                  <from>
                    <xdr:col>5</xdr:col>
                    <xdr:colOff>561975</xdr:colOff>
                    <xdr:row>3</xdr:row>
                    <xdr:rowOff>123825</xdr:rowOff>
                  </from>
                  <to>
                    <xdr:col>9</xdr:col>
                    <xdr:colOff>76200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D2EE9-5F1F-4A39-B9A8-8228BDCD39B5}">
  <sheetPr codeName="Sheet7"/>
  <dimension ref="A1:C15"/>
  <sheetViews>
    <sheetView zoomScale="75" zoomScaleNormal="75" workbookViewId="0">
      <selection activeCell="C5" sqref="C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11" t="s">
        <v>0</v>
      </c>
      <c r="B3" s="11" t="s">
        <v>525</v>
      </c>
      <c r="C3" s="11" t="s">
        <v>526</v>
      </c>
    </row>
    <row r="4" spans="1:3" x14ac:dyDescent="0.25">
      <c r="A4" t="s">
        <v>19</v>
      </c>
      <c r="B4" s="6">
        <v>39672458400</v>
      </c>
      <c r="C4" s="7"/>
    </row>
    <row r="5" spans="1:3" x14ac:dyDescent="0.25">
      <c r="A5" t="s">
        <v>19</v>
      </c>
      <c r="B5" s="6">
        <v>39672458400</v>
      </c>
      <c r="C5" s="7"/>
    </row>
    <row r="6" spans="1:3" x14ac:dyDescent="0.25">
      <c r="A6" t="s">
        <v>19</v>
      </c>
      <c r="B6" s="6">
        <v>39672458400</v>
      </c>
      <c r="C6" s="7"/>
    </row>
    <row r="7" spans="1:3" x14ac:dyDescent="0.25">
      <c r="A7" t="s">
        <v>19</v>
      </c>
      <c r="B7" s="6">
        <v>39672458400</v>
      </c>
      <c r="C7" s="7"/>
    </row>
    <row r="8" spans="1:3" x14ac:dyDescent="0.25">
      <c r="A8" t="s">
        <v>19</v>
      </c>
      <c r="B8" s="6">
        <v>39672458400</v>
      </c>
      <c r="C8" s="7"/>
    </row>
    <row r="9" spans="1:3" x14ac:dyDescent="0.25">
      <c r="A9" t="s">
        <v>19</v>
      </c>
      <c r="B9" s="6">
        <v>39672458400</v>
      </c>
      <c r="C9" s="7"/>
    </row>
    <row r="10" spans="1:3" x14ac:dyDescent="0.25">
      <c r="A10" t="s">
        <v>19</v>
      </c>
      <c r="B10" s="6">
        <v>39672458400</v>
      </c>
      <c r="C10" s="7"/>
    </row>
    <row r="11" spans="1:3" x14ac:dyDescent="0.25">
      <c r="A11" t="s">
        <v>19</v>
      </c>
      <c r="B11" s="6">
        <v>39672458400</v>
      </c>
      <c r="C11" s="7"/>
    </row>
    <row r="12" spans="1:3" x14ac:dyDescent="0.25">
      <c r="A12" t="s">
        <v>19</v>
      </c>
      <c r="B12" s="6">
        <v>39672458400</v>
      </c>
      <c r="C12" s="7"/>
    </row>
    <row r="13" spans="1:3" x14ac:dyDescent="0.25">
      <c r="A13" t="s">
        <v>19</v>
      </c>
      <c r="B13" s="6">
        <v>39672458400</v>
      </c>
      <c r="C13" s="7"/>
    </row>
    <row r="14" spans="1:3" x14ac:dyDescent="0.25">
      <c r="A14" t="s">
        <v>19</v>
      </c>
      <c r="B14" s="6">
        <v>39672458400</v>
      </c>
      <c r="C14" s="7"/>
    </row>
    <row r="15" spans="1:3" x14ac:dyDescent="0.25">
      <c r="A15" t="s">
        <v>19</v>
      </c>
      <c r="B15" s="6">
        <v>39672458400</v>
      </c>
      <c r="C15" s="7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earWorksheet">
                <anchor moveWithCells="1">
                  <from>
                    <xdr:col>6</xdr:col>
                    <xdr:colOff>561975</xdr:colOff>
                    <xdr:row>8</xdr:row>
                    <xdr:rowOff>123825</xdr:rowOff>
                  </from>
                  <to>
                    <xdr:col>10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2017 All Stocks Analysis</vt:lpstr>
      <vt:lpstr>2017 Refactored</vt:lpstr>
      <vt:lpstr>2018 Refactored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2019-05-02T20:23:55Z</dcterms:created>
  <dcterms:modified xsi:type="dcterms:W3CDTF">2021-12-27T00:34:41Z</dcterms:modified>
</cp:coreProperties>
</file>